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martio6_mcmaster_ca/Documents/Rocketry/KiCAD/Github Repos/EPS_V1/Misc/"/>
    </mc:Choice>
  </mc:AlternateContent>
  <xr:revisionPtr revIDLastSave="653" documentId="8_{F1976D24-9999-43FB-86C4-F03AA5C65DA2}" xr6:coauthVersionLast="47" xr6:coauthVersionMax="47" xr10:uidLastSave="{63325226-7A78-409A-A8DF-8FF0C4F2F0D6}"/>
  <bookViews>
    <workbookView xWindow="-110" yWindow="-110" windowWidth="24220" windowHeight="15500" xr2:uid="{787786C2-C3C7-4949-8B8A-B8E5EF583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" i="1" l="1"/>
  <c r="D27" i="1"/>
  <c r="O27" i="1" s="1"/>
  <c r="H27" i="1"/>
  <c r="L27" i="1"/>
  <c r="Y27" i="1"/>
  <c r="D28" i="1"/>
  <c r="O28" i="1" s="1"/>
  <c r="H28" i="1"/>
  <c r="L28" i="1"/>
  <c r="Y28" i="1"/>
  <c r="AD28" i="1" s="1"/>
  <c r="AF28" i="1" s="1"/>
  <c r="Y26" i="1"/>
  <c r="AD26" i="1" s="1"/>
  <c r="L26" i="1"/>
  <c r="H26" i="1"/>
  <c r="B2" i="1"/>
  <c r="V26" i="1" s="1"/>
  <c r="D26" i="1"/>
  <c r="O26" i="1" s="1"/>
  <c r="AF27" i="1" l="1"/>
  <c r="Z28" i="1"/>
  <c r="AA28" i="1" s="1"/>
  <c r="Q26" i="1"/>
  <c r="V27" i="1"/>
  <c r="V28" i="1"/>
  <c r="P26" i="1"/>
  <c r="Q28" i="1"/>
  <c r="P28" i="1"/>
  <c r="AE27" i="1"/>
  <c r="AE26" i="1"/>
  <c r="Z26" i="1"/>
  <c r="AA26" i="1" s="1"/>
  <c r="AE28" i="1"/>
  <c r="Z27" i="1"/>
  <c r="AA27" i="1" s="1"/>
  <c r="P27" i="1"/>
  <c r="Q27" i="1"/>
  <c r="AF26" i="1"/>
  <c r="R26" i="1" l="1"/>
  <c r="W26" i="1" s="1"/>
  <c r="R28" i="1"/>
  <c r="W28" i="1" s="1"/>
  <c r="R27" i="1"/>
  <c r="W27" i="1" s="1"/>
</calcChain>
</file>

<file path=xl/sharedStrings.xml><?xml version="1.0" encoding="utf-8"?>
<sst xmlns="http://schemas.openxmlformats.org/spreadsheetml/2006/main" count="187" uniqueCount="122">
  <si>
    <t>General Properties</t>
  </si>
  <si>
    <t>Configurations</t>
  </si>
  <si>
    <t>Config</t>
  </si>
  <si>
    <t>Application Circuit (datasheet)</t>
  </si>
  <si>
    <t>Output Voltage</t>
  </si>
  <si>
    <t>Output current rating</t>
  </si>
  <si>
    <t>Efficiency</t>
  </si>
  <si>
    <t>V</t>
  </si>
  <si>
    <t>A</t>
  </si>
  <si>
    <t>%</t>
  </si>
  <si>
    <t>Hz</t>
  </si>
  <si>
    <t>Duty Cycle</t>
  </si>
  <si>
    <t>Input voltage (min)</t>
  </si>
  <si>
    <t>Input voltage (max)</t>
  </si>
  <si>
    <t>f_RHPZ</t>
  </si>
  <si>
    <t>Ohms</t>
  </si>
  <si>
    <t>Output Load Resistance</t>
  </si>
  <si>
    <t>Maximum Crossover Frequency</t>
  </si>
  <si>
    <t>Chosen Crossover Frequency</t>
  </si>
  <si>
    <t>Inductor DC Current</t>
  </si>
  <si>
    <t>uF</t>
  </si>
  <si>
    <t>R_c Resistance</t>
  </si>
  <si>
    <t>C_c Capacitance</t>
  </si>
  <si>
    <t>C_p Capacitance</t>
  </si>
  <si>
    <t>Notes</t>
  </si>
  <si>
    <t>Resistor R2</t>
  </si>
  <si>
    <t xml:space="preserve">Should be smaller than 300kOhms. Lower value increases immunity against noise injection. </t>
  </si>
  <si>
    <t>Capacitor C6</t>
  </si>
  <si>
    <t>Reccommended when R2 is larger than 15kOhms</t>
  </si>
  <si>
    <t>Inductor L1</t>
  </si>
  <si>
    <t>Should be between 1 uH and 4.7 uH. Higher inductance reduces inductor current ripple and increases output current capability</t>
  </si>
  <si>
    <t>Input Capacitor C1</t>
  </si>
  <si>
    <t>Should be greater than 1uF</t>
  </si>
  <si>
    <t>Bypass Capacitor C2</t>
  </si>
  <si>
    <t>Should be 0.1uF. Should be placed as close as possible to V_in pin</t>
  </si>
  <si>
    <t>Output Capacitor C4</t>
  </si>
  <si>
    <t>Typically 3*22-uF ceramic capacitors. More can be used to improve load transient response</t>
  </si>
  <si>
    <t>Output Capacitor (C4) Capacitance</t>
  </si>
  <si>
    <t>Input Voltage (Avg)</t>
  </si>
  <si>
    <t>Switching Frequency (Hz)</t>
  </si>
  <si>
    <t>Output Capacitor (C4) ESR</t>
  </si>
  <si>
    <t>Output Voltage Ripple (C4 charge/discahrge)</t>
  </si>
  <si>
    <t>Output Voltage Ripple (C4 ESR)</t>
  </si>
  <si>
    <t>V_REF: Feedback regulation reference voltage  (V)</t>
  </si>
  <si>
    <t>G_EA: Amplifier transconductance (uS)</t>
  </si>
  <si>
    <t>K_COMP: Power Stage Transconductance (A/V)</t>
  </si>
  <si>
    <t>uH</t>
  </si>
  <si>
    <t>Expected current draw</t>
  </si>
  <si>
    <t>nF</t>
  </si>
  <si>
    <t>pF</t>
  </si>
  <si>
    <t>Referenced Input Voltage</t>
  </si>
  <si>
    <t>R_1 Resistance</t>
  </si>
  <si>
    <t>R_2 Resistance</t>
  </si>
  <si>
    <t>L_1 Current Rating (minimum)</t>
  </si>
  <si>
    <t>L_1 Peak-to-Peak Inductor Current Ripple</t>
  </si>
  <si>
    <t>5V Rail</t>
  </si>
  <si>
    <t>9V Rail</t>
  </si>
  <si>
    <t>L_1 Inductance</t>
  </si>
  <si>
    <t>Units:</t>
  </si>
  <si>
    <t>5V Rail Components</t>
  </si>
  <si>
    <t>C1: Input Capacitor</t>
  </si>
  <si>
    <t>Capacitance</t>
  </si>
  <si>
    <t>10uH</t>
  </si>
  <si>
    <t>CL10A106KP8NNNC</t>
  </si>
  <si>
    <t>C2: Bypass Capacitor</t>
  </si>
  <si>
    <t>CC0603KRX7R9BB104</t>
  </si>
  <si>
    <t>100nF</t>
  </si>
  <si>
    <t>C3</t>
  </si>
  <si>
    <t>CL10A225KO8NNNC</t>
  </si>
  <si>
    <t>2.2uF</t>
  </si>
  <si>
    <t>https://jlcpcb.com/partdetail/24366-CL10A225KO8NNNC/C23630</t>
  </si>
  <si>
    <t>https://jlcpcb.com/partdetail/20411-CL10A106KP8NNNC/C19702</t>
  </si>
  <si>
    <t>https://jlcpcb.com/partdetail/Yageo-CC0603KRX7R9BB104/C14663</t>
  </si>
  <si>
    <t>C4</t>
  </si>
  <si>
    <t>Quantity: 6</t>
  </si>
  <si>
    <t>22uF</t>
  </si>
  <si>
    <t>CL21A226MAQNNNE</t>
  </si>
  <si>
    <t>C6</t>
  </si>
  <si>
    <t>CL10C270JB8NNNC</t>
  </si>
  <si>
    <t xml:space="preserve">https://jlcpcb.com/partdetail/2008-CL10C270JB8NNNC/C1656 </t>
  </si>
  <si>
    <t xml:space="preserve">https://jlcpcb.com/partdetail/46786-CL21A226MAQNNNE/C45783 </t>
  </si>
  <si>
    <t>27pF</t>
  </si>
  <si>
    <t>C_c</t>
  </si>
  <si>
    <t>0603B333J500NT</t>
  </si>
  <si>
    <t xml:space="preserve">https://jlcpcb.com/partdetail/287850-0603B333J500NT/C302029 </t>
  </si>
  <si>
    <t>33nF</t>
  </si>
  <si>
    <t>C_p</t>
  </si>
  <si>
    <t>CL10C220JB8NNNC</t>
  </si>
  <si>
    <t>https://jlcpcb.com/partdetail/2005-CL10C220JB8NNNC/C1653</t>
  </si>
  <si>
    <t>22pF</t>
  </si>
  <si>
    <t>R1</t>
  </si>
  <si>
    <t>0603WAF1372T5E</t>
  </si>
  <si>
    <t xml:space="preserve">https://jlcpcb.com/partdetail/23520-0603WAF1372T5E/C22793 </t>
  </si>
  <si>
    <t>Resistance</t>
  </si>
  <si>
    <t>R2</t>
  </si>
  <si>
    <t>13.7k</t>
  </si>
  <si>
    <t>100k</t>
  </si>
  <si>
    <t>0603WAF1003T5E</t>
  </si>
  <si>
    <t>https://jlcpcb.com/partdetail/26546-0603WAF1003T5E/C25803</t>
  </si>
  <si>
    <t>R_c</t>
  </si>
  <si>
    <t>FRC0603F5761TS</t>
  </si>
  <si>
    <t xml:space="preserve">https://jlcpcb.com/partdetail/Fojan-FRC0603F5761TS/C2933239 </t>
  </si>
  <si>
    <t>5.76k</t>
  </si>
  <si>
    <t>Inductor</t>
  </si>
  <si>
    <t>2.2uH</t>
  </si>
  <si>
    <t>9V Rail Components</t>
  </si>
  <si>
    <t>FRC0603F1432TS</t>
  </si>
  <si>
    <t>14.3k</t>
  </si>
  <si>
    <t>https://jlcpcb.com/partdetail/Fojan-FRC0603F1432TS/C2933145</t>
  </si>
  <si>
    <t>200k</t>
  </si>
  <si>
    <t>0603WAF2003T5E</t>
  </si>
  <si>
    <t>https://jlcpcb.com/partdetail/26554-0603WAF2003T5E/C25811</t>
  </si>
  <si>
    <t>18.7k</t>
  </si>
  <si>
    <t>FRC0603F1872TS</t>
  </si>
  <si>
    <t>https://jlcpcb.com/partdetail/Fojan-FRC0603F1872TS/C2930070</t>
  </si>
  <si>
    <t>None (left open)</t>
  </si>
  <si>
    <t>20nF</t>
  </si>
  <si>
    <t>CC0603KRX7R9BB203</t>
  </si>
  <si>
    <t>https://jlcpcb.com/partdetail/Yageo-CC0603KRX7R9BB203/C282065</t>
  </si>
  <si>
    <t>Inductance</t>
  </si>
  <si>
    <t>SRP5030CA-2R2M</t>
  </si>
  <si>
    <t>https://lcsc.com/product-detail/Power-Inductors_BOURNS-SRP5030CA-2R2M_C2046809.html?s_z=n_SRP5030CA-2R2M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</si>
</sst>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10" fontId="0" fillId="2" borderId="0" xfId="1" applyNumberFormat="1" applyFont="1" applyFill="1"/>
    <xf numFmtId="0" fontId="2" fillId="0" borderId="0" xfId="0" applyFont="1" applyAlignment="1">
      <alignment wrapText="1"/>
    </xf>
    <xf numFmtId="10" fontId="0" fillId="0" borderId="0" xfId="1" applyNumberFormat="1" applyFont="1"/>
    <xf numFmtId="0" fontId="4" fillId="0" borderId="0" xfId="0" applyFont="1" applyAlignment="1">
      <alignment horizontal="right"/>
    </xf>
    <xf numFmtId="0" fontId="2" fillId="0" borderId="0" xfId="0" applyFont="1"/>
    <xf numFmtId="0" fontId="5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531174</xdr:colOff>
      <xdr:row>1</xdr:row>
      <xdr:rowOff>28154</xdr:rowOff>
    </xdr:from>
    <xdr:to>
      <xdr:col>14</xdr:col>
      <xdr:colOff>402437</xdr:colOff>
      <xdr:row>20</xdr:row>
      <xdr:rowOff>90311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3F8C7-A64C-C6C7-CF9E-D8156CFC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2980" y="292737"/>
          <a:ext cx="7114800" cy="360757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</xdr:row>
      <xdr:rowOff>0</xdr:rowOff>
    </xdr:from>
    <xdr:to>
      <xdr:col>4</xdr:col>
      <xdr:colOff>905318</xdr:colOff>
      <xdr:row>14</xdr:row>
      <xdr:rowOff>160026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95047-9879-FEA6-A034-08447403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3432" y="1992157"/>
          <a:ext cx="4689870" cy="89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23520-0603WAF1372T5E/C22793" TargetMode="External"/><Relationship Id="rId13" Type="http://schemas.openxmlformats.org/officeDocument/2006/relationships/hyperlink" Target="https://jlcpcb.com/partdetail/24366-CL10A225KO8NNNC/C23630" TargetMode="External"/><Relationship Id="rId18" Type="http://schemas.openxmlformats.org/officeDocument/2006/relationships/hyperlink" Target="https://jlcpcb.com/partdetail/Yageo-CC0603KRX7R9BB203/C282065" TargetMode="External"/><Relationship Id="rId3" Type="http://schemas.openxmlformats.org/officeDocument/2006/relationships/hyperlink" Target="https://jlcpcb.com/partdetail/24366-CL10A225KO8NNNC/C23630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jlcpcb.com/partdetail/2005-CL10C220JB8NNNC/C1653" TargetMode="External"/><Relationship Id="rId12" Type="http://schemas.openxmlformats.org/officeDocument/2006/relationships/hyperlink" Target="https://jlcpcb.com/partdetail/Yageo-CC0603KRX7R9BB104/C14663" TargetMode="External"/><Relationship Id="rId17" Type="http://schemas.openxmlformats.org/officeDocument/2006/relationships/hyperlink" Target="https://jlcpcb.com/partdetail/26554-0603WAF2003T5E/C25811" TargetMode="External"/><Relationship Id="rId2" Type="http://schemas.openxmlformats.org/officeDocument/2006/relationships/hyperlink" Target="https://jlcpcb.com/partdetail/Yageo-CC0603KRX7R9BB104/C14663" TargetMode="External"/><Relationship Id="rId16" Type="http://schemas.openxmlformats.org/officeDocument/2006/relationships/hyperlink" Target="https://jlcpcb.com/partdetail/Fojan-FRC0603F1432TS/C2933145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jlcpcb.com/partdetail/20411-CL10A106KP8NNNC/C19702" TargetMode="External"/><Relationship Id="rId6" Type="http://schemas.openxmlformats.org/officeDocument/2006/relationships/hyperlink" Target="https://jlcpcb.com/partdetail/287850-0603B333J500NT/C302029" TargetMode="External"/><Relationship Id="rId11" Type="http://schemas.openxmlformats.org/officeDocument/2006/relationships/hyperlink" Target="https://jlcpcb.com/partdetail/20411-CL10A106KP8NNNC/C19702" TargetMode="External"/><Relationship Id="rId5" Type="http://schemas.openxmlformats.org/officeDocument/2006/relationships/hyperlink" Target="https://jlcpcb.com/partdetail/46786-CL21A226MAQNNNE/C45783" TargetMode="External"/><Relationship Id="rId15" Type="http://schemas.openxmlformats.org/officeDocument/2006/relationships/hyperlink" Target="https://jlcpcb.com/partdetail/46786-CL21A226MAQNNNE/C45783" TargetMode="External"/><Relationship Id="rId10" Type="http://schemas.openxmlformats.org/officeDocument/2006/relationships/hyperlink" Target="https://jlcpcb.com/partdetail/Fojan-FRC0603F5761TS/C2933239" TargetMode="External"/><Relationship Id="rId19" Type="http://schemas.openxmlformats.org/officeDocument/2006/relationships/hyperlink" Target="https://jlcpcb.com/partdetail/Fojan-FRC0603F1872TS/C2930070" TargetMode="External"/><Relationship Id="rId4" Type="http://schemas.openxmlformats.org/officeDocument/2006/relationships/hyperlink" Target="https://jlcpcb.com/partdetail/2008-CL10C270JB8NNNC/C1656" TargetMode="External"/><Relationship Id="rId9" Type="http://schemas.openxmlformats.org/officeDocument/2006/relationships/hyperlink" Target="https://jlcpcb.com/partdetail/26546-0603WAF1003T5E/C25803" TargetMode="External"/><Relationship Id="rId14" Type="http://schemas.openxmlformats.org/officeDocument/2006/relationships/hyperlink" Target="https://jlcpcb.com/partdetail/2008-CL10C270JB8NNNC/C1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70D0-2E89-435D-A5C3-847270D450BA}">
  <dimension ref="A1:AF98"/>
  <sheetViews>
    <sheetView tabSelected="1" topLeftCell="A87" zoomScale="117" zoomScaleNormal="117" workbookViewId="0">
      <selection activeCell="D104" sqref="D104"/>
    </sheetView>
  </sheetViews>
  <sheetFormatPr defaultRowHeight="14.5" x14ac:dyDescent="0.35"/>
  <cols>
    <col min="1" max="1" width="42.6328125" customWidth="1"/>
    <col min="2" max="2" width="19.08984375" customWidth="1"/>
    <col min="3" max="4" width="17.54296875" customWidth="1"/>
    <col min="5" max="6" width="13.90625" customWidth="1"/>
    <col min="7" max="7" width="19.6328125" customWidth="1"/>
    <col min="8" max="8" width="21.81640625" customWidth="1"/>
    <col min="9" max="13" width="13.36328125" customWidth="1"/>
    <col min="14" max="14" width="15" customWidth="1"/>
    <col min="15" max="15" width="21.90625" customWidth="1"/>
    <col min="16" max="16" width="21.7265625" customWidth="1"/>
    <col min="17" max="17" width="20.54296875" customWidth="1"/>
    <col min="18" max="18" width="26.54296875" customWidth="1"/>
    <col min="19" max="19" width="13.36328125" customWidth="1"/>
    <col min="20" max="21" width="20.7265625" customWidth="1"/>
    <col min="22" max="22" width="21.36328125" customWidth="1"/>
    <col min="23" max="23" width="19.81640625" customWidth="1"/>
    <col min="24" max="24" width="13.36328125" customWidth="1"/>
    <col min="25" max="25" width="18.26953125" customWidth="1"/>
    <col min="26" max="26" width="9" customWidth="1"/>
    <col min="27" max="27" width="20.6328125" customWidth="1"/>
    <col min="28" max="28" width="11.1796875" customWidth="1"/>
    <col min="29" max="29" width="20.08984375" customWidth="1"/>
    <col min="30" max="30" width="22.1796875" customWidth="1"/>
    <col min="31" max="31" width="26.36328125" customWidth="1"/>
    <col min="32" max="32" width="18" customWidth="1"/>
  </cols>
  <sheetData>
    <row r="1" spans="1:2" ht="21" x14ac:dyDescent="0.5">
      <c r="A1" s="1" t="s">
        <v>0</v>
      </c>
    </row>
    <row r="2" spans="1:2" x14ac:dyDescent="0.35">
      <c r="A2" t="s">
        <v>39</v>
      </c>
      <c r="B2">
        <f>500*1000</f>
        <v>500000</v>
      </c>
    </row>
    <row r="3" spans="1:2" x14ac:dyDescent="0.35">
      <c r="A3" t="s">
        <v>43</v>
      </c>
      <c r="B3">
        <v>0.6</v>
      </c>
    </row>
    <row r="4" spans="1:2" x14ac:dyDescent="0.35">
      <c r="A4" t="s">
        <v>44</v>
      </c>
      <c r="B4">
        <v>180</v>
      </c>
    </row>
    <row r="5" spans="1:2" x14ac:dyDescent="0.35">
      <c r="A5" t="s">
        <v>45</v>
      </c>
      <c r="B5">
        <v>13.5</v>
      </c>
    </row>
    <row r="7" spans="1:2" ht="21" x14ac:dyDescent="0.5">
      <c r="A7" s="1" t="s">
        <v>24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30</v>
      </c>
    </row>
    <row r="16" spans="1:2" x14ac:dyDescent="0.35">
      <c r="A16" t="s">
        <v>31</v>
      </c>
      <c r="B16" t="s">
        <v>32</v>
      </c>
    </row>
    <row r="17" spans="1:32" x14ac:dyDescent="0.35">
      <c r="A17" t="s">
        <v>33</v>
      </c>
      <c r="B17" t="s">
        <v>34</v>
      </c>
    </row>
    <row r="18" spans="1:32" x14ac:dyDescent="0.35">
      <c r="A18" t="s">
        <v>35</v>
      </c>
      <c r="B18" t="s">
        <v>36</v>
      </c>
    </row>
    <row r="23" spans="1:32" ht="21" x14ac:dyDescent="0.5">
      <c r="A23" s="1" t="s">
        <v>1</v>
      </c>
    </row>
    <row r="24" spans="1:32" s="5" customFormat="1" ht="29" customHeight="1" x14ac:dyDescent="0.35">
      <c r="A24" s="5" t="s">
        <v>2</v>
      </c>
      <c r="B24" s="5" t="s">
        <v>12</v>
      </c>
      <c r="C24" s="5" t="s">
        <v>13</v>
      </c>
      <c r="D24" s="5" t="s">
        <v>38</v>
      </c>
      <c r="E24" s="5" t="s">
        <v>4</v>
      </c>
      <c r="F24" s="5" t="s">
        <v>47</v>
      </c>
      <c r="G24" s="5" t="s">
        <v>5</v>
      </c>
      <c r="H24" s="5" t="s">
        <v>16</v>
      </c>
      <c r="I24" s="5" t="s">
        <v>6</v>
      </c>
      <c r="K24" s="5" t="s">
        <v>52</v>
      </c>
      <c r="L24" s="5" t="s">
        <v>51</v>
      </c>
      <c r="N24" s="5" t="s">
        <v>57</v>
      </c>
      <c r="O24" s="5" t="s">
        <v>50</v>
      </c>
      <c r="P24" s="5" t="s">
        <v>19</v>
      </c>
      <c r="Q24" s="5" t="s">
        <v>54</v>
      </c>
      <c r="R24" s="5" t="s">
        <v>53</v>
      </c>
      <c r="T24" s="5" t="s">
        <v>37</v>
      </c>
      <c r="U24" s="5" t="s">
        <v>40</v>
      </c>
      <c r="V24" s="5" t="s">
        <v>41</v>
      </c>
      <c r="W24" s="5" t="s">
        <v>42</v>
      </c>
      <c r="Y24" s="5" t="s">
        <v>11</v>
      </c>
      <c r="Z24" s="5" t="s">
        <v>14</v>
      </c>
      <c r="AA24" s="5" t="s">
        <v>17</v>
      </c>
      <c r="AC24" s="5" t="s">
        <v>18</v>
      </c>
      <c r="AD24" s="5" t="s">
        <v>21</v>
      </c>
      <c r="AE24" s="5" t="s">
        <v>22</v>
      </c>
      <c r="AF24" s="5" t="s">
        <v>23</v>
      </c>
    </row>
    <row r="25" spans="1:32" s="2" customFormat="1" x14ac:dyDescent="0.35">
      <c r="A25" s="7" t="s">
        <v>58</v>
      </c>
      <c r="B25" s="2" t="s">
        <v>7</v>
      </c>
      <c r="C25" s="2" t="s">
        <v>7</v>
      </c>
      <c r="D25" s="2" t="s">
        <v>7</v>
      </c>
      <c r="E25" s="2" t="s">
        <v>7</v>
      </c>
      <c r="F25" s="2" t="s">
        <v>8</v>
      </c>
      <c r="G25" s="2" t="s">
        <v>8</v>
      </c>
      <c r="H25" s="2" t="s">
        <v>15</v>
      </c>
      <c r="I25" s="2" t="s">
        <v>9</v>
      </c>
      <c r="K25" s="2" t="s">
        <v>15</v>
      </c>
      <c r="L25" s="2" t="s">
        <v>15</v>
      </c>
      <c r="N25" s="2" t="s">
        <v>46</v>
      </c>
      <c r="O25" s="2" t="s">
        <v>7</v>
      </c>
      <c r="P25" s="2" t="s">
        <v>8</v>
      </c>
      <c r="Q25" s="2" t="s">
        <v>8</v>
      </c>
      <c r="R25" s="2" t="s">
        <v>8</v>
      </c>
      <c r="T25" s="2" t="s">
        <v>20</v>
      </c>
      <c r="U25" s="2" t="s">
        <v>15</v>
      </c>
      <c r="V25" s="2" t="s">
        <v>7</v>
      </c>
      <c r="W25" s="2" t="s">
        <v>7</v>
      </c>
      <c r="Y25" s="2" t="s">
        <v>9</v>
      </c>
      <c r="Z25" s="2" t="s">
        <v>10</v>
      </c>
      <c r="AA25" s="2" t="s">
        <v>10</v>
      </c>
      <c r="AC25" s="2" t="s">
        <v>10</v>
      </c>
      <c r="AD25" s="2" t="s">
        <v>15</v>
      </c>
      <c r="AE25" s="2" t="s">
        <v>48</v>
      </c>
      <c r="AF25" s="2" t="s">
        <v>49</v>
      </c>
    </row>
    <row r="26" spans="1:32" x14ac:dyDescent="0.35">
      <c r="A26" t="s">
        <v>3</v>
      </c>
      <c r="B26">
        <v>2.7</v>
      </c>
      <c r="C26">
        <v>4.4000000000000004</v>
      </c>
      <c r="D26" s="3">
        <f>(B26+C26)/2</f>
        <v>3.5500000000000003</v>
      </c>
      <c r="E26">
        <v>13</v>
      </c>
      <c r="F26">
        <v>2.2999999999999998</v>
      </c>
      <c r="G26">
        <v>2.2999999999999998</v>
      </c>
      <c r="H26">
        <f>E26/F26</f>
        <v>5.6521739130434785</v>
      </c>
      <c r="I26" s="6">
        <v>0.9</v>
      </c>
      <c r="K26">
        <v>14300</v>
      </c>
      <c r="L26" s="3">
        <f>((E26-$B$3)*K26)/$B$3</f>
        <v>295533.33333333337</v>
      </c>
      <c r="N26">
        <v>2.2000000000000002</v>
      </c>
      <c r="O26" s="3">
        <f>D26</f>
        <v>3.5500000000000003</v>
      </c>
      <c r="P26" s="3">
        <f>(E26*G26)/(I26*O26)</f>
        <v>9.3583724569640054</v>
      </c>
      <c r="Q26" s="3">
        <f>1/((N26*0.000001)*(1/(E26-O26)+1/O26)*$B$2)</f>
        <v>2.345979020979021</v>
      </c>
      <c r="R26" s="3">
        <f>P26+Q26/2</f>
        <v>10.531361967453517</v>
      </c>
      <c r="T26">
        <v>132</v>
      </c>
      <c r="U26">
        <v>1E-3</v>
      </c>
      <c r="V26" s="3">
        <f>((E26-B26)*G26)/(E26*$B$2*(T26*0.000001))</f>
        <v>2.7610722610722616E-2</v>
      </c>
      <c r="W26" s="3">
        <f>R26*U26</f>
        <v>1.0531361967453518E-2</v>
      </c>
      <c r="Y26" s="4">
        <f>1-((B26*I26)/E26)</f>
        <v>0.81307692307692303</v>
      </c>
      <c r="Z26" s="3">
        <f>(H26*(1-Y26)^2)/(2*PI()*(N26*0.000001))</f>
        <v>14286.92647405493</v>
      </c>
      <c r="AA26" s="3">
        <f>MIN($B$2/10, Z26/5)</f>
        <v>2857.3852948109861</v>
      </c>
      <c r="AC26">
        <v>920</v>
      </c>
      <c r="AD26" s="3">
        <f>(2*PI()*E26*(T26*0.000001)*AC26)/((1-Y26)*$B$3*($B$4*0.000001)*$B$5)</f>
        <v>36396.911606168105</v>
      </c>
      <c r="AE26" s="3">
        <f>(H26*(T26*0.000001))/(2*AD26)*1000000000</f>
        <v>10.249316818343749</v>
      </c>
      <c r="AF26" s="3">
        <f>(U26*(T26*0.000001))/(AD26)*1000000000000</f>
        <v>3.6266813357216341</v>
      </c>
    </row>
    <row r="27" spans="1:32" x14ac:dyDescent="0.35">
      <c r="A27" t="s">
        <v>55</v>
      </c>
      <c r="B27">
        <v>2.5</v>
      </c>
      <c r="C27">
        <v>4.2</v>
      </c>
      <c r="D27" s="3">
        <f t="shared" ref="D27:D28" si="0">(B27+C27)/2</f>
        <v>3.35</v>
      </c>
      <c r="E27">
        <v>5</v>
      </c>
      <c r="F27">
        <v>1.6</v>
      </c>
      <c r="G27">
        <v>2</v>
      </c>
      <c r="H27">
        <f t="shared" ref="H27:H28" si="1">E27/F27</f>
        <v>3.125</v>
      </c>
      <c r="I27" s="6">
        <v>0.9</v>
      </c>
      <c r="K27">
        <v>13700</v>
      </c>
      <c r="L27" s="3">
        <f t="shared" ref="L27:L28" si="2">((E27-$B$3)*K27)/$B$3</f>
        <v>100466.66666666669</v>
      </c>
      <c r="N27">
        <v>2.2000000000000002</v>
      </c>
      <c r="O27" s="3">
        <f t="shared" ref="O27:O28" si="3">D27</f>
        <v>3.35</v>
      </c>
      <c r="P27" s="3">
        <f t="shared" ref="P27:P28" si="4">(E27*G27)/(I27*O27)</f>
        <v>3.3167495854063018</v>
      </c>
      <c r="Q27" s="3">
        <f t="shared" ref="Q27:Q28" si="5">1/((N27*0.000001)*(1/(E27-O27)+1/O27)*$B$2)</f>
        <v>1.0049999999999999</v>
      </c>
      <c r="R27" s="3">
        <f t="shared" ref="R27:R28" si="6">P27+Q27/2</f>
        <v>3.8192495854063018</v>
      </c>
      <c r="T27">
        <v>132</v>
      </c>
      <c r="U27">
        <v>1E-3</v>
      </c>
      <c r="V27" s="3">
        <f t="shared" ref="V27:V28" si="7">((E27-B27)*G27)/(E27*$B$2*(T27*0.000001))</f>
        <v>1.5151515151515154E-2</v>
      </c>
      <c r="W27" s="3">
        <f t="shared" ref="W27:W28" si="8">R27*U27</f>
        <v>3.8192495854063018E-3</v>
      </c>
      <c r="Y27" s="4">
        <f t="shared" ref="Y27:Y28" si="9">1-((B27*I27)/E27)</f>
        <v>0.55000000000000004</v>
      </c>
      <c r="Z27" s="3">
        <f t="shared" ref="Z27:Z28" si="10">(H27*(1-Y27)^2)/(2*PI()*(N27*0.000001))</f>
        <v>45779.653375154543</v>
      </c>
      <c r="AA27" s="3">
        <f t="shared" ref="AA27:AA28" si="11">MIN($B$2/10, Z27/5)</f>
        <v>9155.9306750309079</v>
      </c>
      <c r="AC27">
        <v>920</v>
      </c>
      <c r="AD27" s="3">
        <f>(2*PI()*E27*(T27*0.000001)*AC27)/((1-Y27)*$B$3*($B$4*0.000001)*$B$5)</f>
        <v>5814.8912033523011</v>
      </c>
      <c r="AE27" s="3">
        <f>(H27*(T27*0.000001))/(2*AD27)*1000000000</f>
        <v>35.469279267184959</v>
      </c>
      <c r="AF27" s="3">
        <f t="shared" ref="AF27:AF28" si="12">(U27*(T27*0.000001))/(AD27)*1000000000000</f>
        <v>22.700338730998375</v>
      </c>
    </row>
    <row r="28" spans="1:32" x14ac:dyDescent="0.35">
      <c r="A28" t="s">
        <v>56</v>
      </c>
      <c r="B28">
        <v>2.5</v>
      </c>
      <c r="C28">
        <v>4.2</v>
      </c>
      <c r="D28" s="3">
        <f t="shared" si="0"/>
        <v>3.35</v>
      </c>
      <c r="E28">
        <v>9</v>
      </c>
      <c r="F28">
        <v>1.6</v>
      </c>
      <c r="G28">
        <v>2</v>
      </c>
      <c r="H28">
        <f t="shared" si="1"/>
        <v>5.625</v>
      </c>
      <c r="I28" s="6">
        <v>0.9</v>
      </c>
      <c r="K28">
        <v>14300</v>
      </c>
      <c r="L28" s="3">
        <f t="shared" si="2"/>
        <v>200200</v>
      </c>
      <c r="N28">
        <v>2.2000000000000002</v>
      </c>
      <c r="O28" s="3">
        <f t="shared" si="3"/>
        <v>3.35</v>
      </c>
      <c r="P28" s="3">
        <f t="shared" si="4"/>
        <v>5.9701492537313428</v>
      </c>
      <c r="Q28" s="3">
        <f t="shared" si="5"/>
        <v>1.9118686868686867</v>
      </c>
      <c r="R28" s="3">
        <f t="shared" si="6"/>
        <v>6.926083597165686</v>
      </c>
      <c r="T28">
        <v>132</v>
      </c>
      <c r="U28">
        <v>1E-3</v>
      </c>
      <c r="V28" s="3">
        <f t="shared" si="7"/>
        <v>2.188552188552189E-2</v>
      </c>
      <c r="W28" s="3">
        <f t="shared" si="8"/>
        <v>6.9260835971656862E-3</v>
      </c>
      <c r="Y28" s="4">
        <f t="shared" si="9"/>
        <v>0.75</v>
      </c>
      <c r="Z28" s="3">
        <f t="shared" si="10"/>
        <v>25433.140763974752</v>
      </c>
      <c r="AA28" s="3">
        <f t="shared" si="11"/>
        <v>5086.6281527949504</v>
      </c>
      <c r="AC28">
        <v>920</v>
      </c>
      <c r="AD28" s="3">
        <f t="shared" ref="AD28" si="13">(2*PI()*E28*(T28*0.000001)*AC28)/((1-Y28)*$B$3*($B$4*0.000001)*$B$5)</f>
        <v>18840.247498861456</v>
      </c>
      <c r="AE28" s="3">
        <f t="shared" ref="AE28" si="14">(H28*(T28*0.000001))/(2*AD28)*1000000000</f>
        <v>19.705155148436088</v>
      </c>
      <c r="AF28" s="3">
        <f t="shared" si="12"/>
        <v>7.0062773861106091</v>
      </c>
    </row>
    <row r="30" spans="1:32" ht="21" x14ac:dyDescent="0.5">
      <c r="A30" s="1" t="s">
        <v>59</v>
      </c>
    </row>
    <row r="31" spans="1:32" x14ac:dyDescent="0.35">
      <c r="A31" s="8" t="s">
        <v>90</v>
      </c>
      <c r="B31" t="s">
        <v>91</v>
      </c>
      <c r="C31" s="9" t="s">
        <v>92</v>
      </c>
    </row>
    <row r="32" spans="1:32" x14ac:dyDescent="0.35">
      <c r="A32" t="s">
        <v>93</v>
      </c>
      <c r="B32" t="s">
        <v>95</v>
      </c>
    </row>
    <row r="34" spans="1:3" x14ac:dyDescent="0.35">
      <c r="A34" s="8" t="s">
        <v>94</v>
      </c>
      <c r="B34" t="s">
        <v>97</v>
      </c>
      <c r="C34" s="9" t="s">
        <v>98</v>
      </c>
    </row>
    <row r="35" spans="1:3" x14ac:dyDescent="0.35">
      <c r="A35" t="s">
        <v>93</v>
      </c>
      <c r="B35" t="s">
        <v>96</v>
      </c>
    </row>
    <row r="37" spans="1:3" x14ac:dyDescent="0.35">
      <c r="A37" s="8" t="s">
        <v>99</v>
      </c>
      <c r="B37" t="s">
        <v>100</v>
      </c>
      <c r="C37" s="9" t="s">
        <v>101</v>
      </c>
    </row>
    <row r="38" spans="1:3" x14ac:dyDescent="0.35">
      <c r="A38" t="s">
        <v>93</v>
      </c>
      <c r="B38" t="s">
        <v>102</v>
      </c>
    </row>
    <row r="40" spans="1:3" x14ac:dyDescent="0.35">
      <c r="A40" s="8" t="s">
        <v>60</v>
      </c>
      <c r="B40" t="s">
        <v>63</v>
      </c>
      <c r="C40" s="9" t="s">
        <v>71</v>
      </c>
    </row>
    <row r="41" spans="1:3" x14ac:dyDescent="0.35">
      <c r="A41" t="s">
        <v>61</v>
      </c>
      <c r="B41" t="s">
        <v>62</v>
      </c>
    </row>
    <row r="43" spans="1:3" x14ac:dyDescent="0.35">
      <c r="A43" s="8" t="s">
        <v>64</v>
      </c>
      <c r="B43" t="s">
        <v>65</v>
      </c>
      <c r="C43" s="9" t="s">
        <v>72</v>
      </c>
    </row>
    <row r="44" spans="1:3" x14ac:dyDescent="0.35">
      <c r="A44" t="s">
        <v>61</v>
      </c>
      <c r="B44" t="s">
        <v>66</v>
      </c>
    </row>
    <row r="46" spans="1:3" x14ac:dyDescent="0.35">
      <c r="A46" s="8" t="s">
        <v>67</v>
      </c>
      <c r="B46" t="s">
        <v>68</v>
      </c>
      <c r="C46" s="9" t="s">
        <v>70</v>
      </c>
    </row>
    <row r="47" spans="1:3" x14ac:dyDescent="0.35">
      <c r="A47" t="s">
        <v>61</v>
      </c>
      <c r="B47" t="s">
        <v>69</v>
      </c>
    </row>
    <row r="49" spans="1:3" x14ac:dyDescent="0.35">
      <c r="A49" s="8" t="s">
        <v>73</v>
      </c>
      <c r="B49" t="s">
        <v>76</v>
      </c>
      <c r="C49" s="9" t="s">
        <v>80</v>
      </c>
    </row>
    <row r="50" spans="1:3" x14ac:dyDescent="0.35">
      <c r="A50" t="s">
        <v>74</v>
      </c>
    </row>
    <row r="51" spans="1:3" x14ac:dyDescent="0.35">
      <c r="A51" t="s">
        <v>61</v>
      </c>
      <c r="B51" t="s">
        <v>75</v>
      </c>
    </row>
    <row r="53" spans="1:3" x14ac:dyDescent="0.35">
      <c r="A53" s="8" t="s">
        <v>77</v>
      </c>
      <c r="B53" t="s">
        <v>78</v>
      </c>
      <c r="C53" s="9" t="s">
        <v>79</v>
      </c>
    </row>
    <row r="54" spans="1:3" x14ac:dyDescent="0.35">
      <c r="A54" t="s">
        <v>61</v>
      </c>
      <c r="B54" t="s">
        <v>81</v>
      </c>
    </row>
    <row r="56" spans="1:3" x14ac:dyDescent="0.35">
      <c r="A56" s="8" t="s">
        <v>82</v>
      </c>
      <c r="B56" t="s">
        <v>83</v>
      </c>
      <c r="C56" s="9" t="s">
        <v>84</v>
      </c>
    </row>
    <row r="57" spans="1:3" x14ac:dyDescent="0.35">
      <c r="A57" t="s">
        <v>61</v>
      </c>
      <c r="B57" t="s">
        <v>85</v>
      </c>
    </row>
    <row r="59" spans="1:3" x14ac:dyDescent="0.35">
      <c r="A59" s="8" t="s">
        <v>86</v>
      </c>
      <c r="B59" t="s">
        <v>87</v>
      </c>
      <c r="C59" s="9" t="s">
        <v>88</v>
      </c>
    </row>
    <row r="60" spans="1:3" x14ac:dyDescent="0.35">
      <c r="A60" t="s">
        <v>61</v>
      </c>
      <c r="B60" t="s">
        <v>89</v>
      </c>
    </row>
    <row r="62" spans="1:3" x14ac:dyDescent="0.35">
      <c r="A62" s="8" t="s">
        <v>103</v>
      </c>
      <c r="B62" t="s">
        <v>120</v>
      </c>
      <c r="C62" s="9" t="s">
        <v>121</v>
      </c>
    </row>
    <row r="63" spans="1:3" x14ac:dyDescent="0.35">
      <c r="B63" t="s">
        <v>104</v>
      </c>
    </row>
    <row r="65" spans="1:3" ht="21" x14ac:dyDescent="0.5">
      <c r="A65" s="1" t="s">
        <v>105</v>
      </c>
    </row>
    <row r="66" spans="1:3" x14ac:dyDescent="0.35">
      <c r="A66" s="8" t="s">
        <v>90</v>
      </c>
      <c r="B66" t="s">
        <v>106</v>
      </c>
      <c r="C66" s="9" t="s">
        <v>108</v>
      </c>
    </row>
    <row r="67" spans="1:3" x14ac:dyDescent="0.35">
      <c r="A67" t="s">
        <v>93</v>
      </c>
      <c r="B67" t="s">
        <v>107</v>
      </c>
    </row>
    <row r="69" spans="1:3" x14ac:dyDescent="0.35">
      <c r="A69" s="8" t="s">
        <v>94</v>
      </c>
      <c r="B69" t="s">
        <v>110</v>
      </c>
      <c r="C69" s="9" t="s">
        <v>111</v>
      </c>
    </row>
    <row r="70" spans="1:3" x14ac:dyDescent="0.35">
      <c r="A70" t="s">
        <v>93</v>
      </c>
      <c r="B70" t="s">
        <v>109</v>
      </c>
    </row>
    <row r="72" spans="1:3" x14ac:dyDescent="0.35">
      <c r="A72" s="8" t="s">
        <v>99</v>
      </c>
      <c r="B72" t="s">
        <v>113</v>
      </c>
      <c r="C72" s="9" t="s">
        <v>114</v>
      </c>
    </row>
    <row r="73" spans="1:3" x14ac:dyDescent="0.35">
      <c r="A73" t="s">
        <v>93</v>
      </c>
      <c r="B73" t="s">
        <v>112</v>
      </c>
    </row>
    <row r="75" spans="1:3" x14ac:dyDescent="0.35">
      <c r="A75" s="8" t="s">
        <v>60</v>
      </c>
      <c r="B75" t="s">
        <v>63</v>
      </c>
      <c r="C75" s="9" t="s">
        <v>71</v>
      </c>
    </row>
    <row r="76" spans="1:3" x14ac:dyDescent="0.35">
      <c r="A76" t="s">
        <v>61</v>
      </c>
      <c r="B76" t="s">
        <v>62</v>
      </c>
    </row>
    <row r="78" spans="1:3" x14ac:dyDescent="0.35">
      <c r="A78" s="8" t="s">
        <v>64</v>
      </c>
      <c r="B78" t="s">
        <v>65</v>
      </c>
      <c r="C78" s="9" t="s">
        <v>72</v>
      </c>
    </row>
    <row r="79" spans="1:3" x14ac:dyDescent="0.35">
      <c r="A79" t="s">
        <v>61</v>
      </c>
      <c r="B79" t="s">
        <v>66</v>
      </c>
    </row>
    <row r="81" spans="1:3" x14ac:dyDescent="0.35">
      <c r="A81" s="8" t="s">
        <v>67</v>
      </c>
      <c r="B81" t="s">
        <v>68</v>
      </c>
      <c r="C81" s="9" t="s">
        <v>70</v>
      </c>
    </row>
    <row r="82" spans="1:3" x14ac:dyDescent="0.35">
      <c r="A82" t="s">
        <v>61</v>
      </c>
      <c r="B82" t="s">
        <v>69</v>
      </c>
    </row>
    <row r="84" spans="1:3" x14ac:dyDescent="0.35">
      <c r="A84" s="8" t="s">
        <v>73</v>
      </c>
      <c r="B84" t="s">
        <v>76</v>
      </c>
      <c r="C84" s="9" t="s">
        <v>80</v>
      </c>
    </row>
    <row r="85" spans="1:3" x14ac:dyDescent="0.35">
      <c r="A85" t="s">
        <v>74</v>
      </c>
    </row>
    <row r="86" spans="1:3" x14ac:dyDescent="0.35">
      <c r="A86" t="s">
        <v>61</v>
      </c>
      <c r="B86" t="s">
        <v>75</v>
      </c>
    </row>
    <row r="88" spans="1:3" x14ac:dyDescent="0.35">
      <c r="A88" s="8" t="s">
        <v>77</v>
      </c>
      <c r="B88" t="s">
        <v>78</v>
      </c>
      <c r="C88" s="9" t="s">
        <v>79</v>
      </c>
    </row>
    <row r="89" spans="1:3" x14ac:dyDescent="0.35">
      <c r="A89" t="s">
        <v>61</v>
      </c>
      <c r="B89" t="s">
        <v>81</v>
      </c>
    </row>
    <row r="91" spans="1:3" x14ac:dyDescent="0.35">
      <c r="A91" s="8" t="s">
        <v>82</v>
      </c>
      <c r="B91" t="s">
        <v>117</v>
      </c>
      <c r="C91" s="9" t="s">
        <v>118</v>
      </c>
    </row>
    <row r="92" spans="1:3" x14ac:dyDescent="0.35">
      <c r="A92" t="s">
        <v>61</v>
      </c>
      <c r="B92" t="s">
        <v>116</v>
      </c>
    </row>
    <row r="94" spans="1:3" x14ac:dyDescent="0.35">
      <c r="A94" s="8" t="s">
        <v>86</v>
      </c>
      <c r="B94" t="s">
        <v>115</v>
      </c>
      <c r="C94" s="9"/>
    </row>
    <row r="95" spans="1:3" x14ac:dyDescent="0.35">
      <c r="A95" t="s">
        <v>61</v>
      </c>
    </row>
    <row r="97" spans="1:3" x14ac:dyDescent="0.35">
      <c r="A97" s="8" t="s">
        <v>103</v>
      </c>
      <c r="B97" t="s">
        <v>120</v>
      </c>
      <c r="C97" s="9" t="s">
        <v>121</v>
      </c>
    </row>
    <row r="98" spans="1:3" x14ac:dyDescent="0.35">
      <c r="A98" t="s">
        <v>119</v>
      </c>
      <c r="B98" t="s">
        <v>104</v>
      </c>
    </row>
  </sheetData>
  <hyperlinks>
    <hyperlink ref="C40" r:id="rId1" xr:uid="{914E44CE-A75F-4581-A2E3-22D6DF7031E3}"/>
    <hyperlink ref="C43" r:id="rId2" xr:uid="{1D6D7609-85CA-4124-8B9A-ACFC70C16959}"/>
    <hyperlink ref="C46" r:id="rId3" xr:uid="{CA85A567-AE25-4207-896D-274BA5E3959F}"/>
    <hyperlink ref="C53" r:id="rId4" xr:uid="{4634B4BD-D002-47F7-B9CE-5C476D5BF200}"/>
    <hyperlink ref="C49" r:id="rId5" xr:uid="{333E3CAD-6F38-4657-AD10-ACD282C09931}"/>
    <hyperlink ref="C56" r:id="rId6" xr:uid="{6778E76A-8C78-44A8-8248-33EBFE6D2610}"/>
    <hyperlink ref="C59" r:id="rId7" xr:uid="{30185F64-5FC6-4883-B205-C3081BABF336}"/>
    <hyperlink ref="C31" r:id="rId8" xr:uid="{633F3ABD-6495-4CF6-AD86-5A3A36EEEC05}"/>
    <hyperlink ref="C34" r:id="rId9" xr:uid="{38990614-DF08-4126-9035-53062EEC69B7}"/>
    <hyperlink ref="C37" r:id="rId10" xr:uid="{F7261527-1A5E-41F4-B7F7-0693ECE430F3}"/>
    <hyperlink ref="C75" r:id="rId11" xr:uid="{2B201239-BFC0-4CB4-A475-B4153FC98CFA}"/>
    <hyperlink ref="C78" r:id="rId12" xr:uid="{2C19968D-3403-4FF4-AD98-E459DBDC0A57}"/>
    <hyperlink ref="C81" r:id="rId13" xr:uid="{12563B19-7945-471D-BB67-0C5E4A372EF0}"/>
    <hyperlink ref="C88" r:id="rId14" xr:uid="{867B3ED0-6A5F-4BE3-8E6E-F94497631E7A}"/>
    <hyperlink ref="C84" r:id="rId15" xr:uid="{1F904BB8-7136-41C6-B6BF-0100286EF093}"/>
    <hyperlink ref="C66" r:id="rId16" xr:uid="{312B81B4-B497-49BE-A3A1-B3DF1C2D29E6}"/>
    <hyperlink ref="C69" r:id="rId17" xr:uid="{AF63CE5D-82CC-4D3E-9555-E213EEC678E3}"/>
    <hyperlink ref="C91" r:id="rId18" xr:uid="{17A9F849-05CA-49BA-B331-D795EE839952}"/>
    <hyperlink ref="C72" r:id="rId19" xr:uid="{914D706A-543C-48A7-B737-CFE0AC85C5EF}"/>
  </hyperlinks>
  <pageMargins left="0.7" right="0.7" top="0.75" bottom="0.75" header="0.3" footer="0.3"/>
  <pageSetup orientation="portrait" horizontalDpi="300" verticalDpi="300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Martin</dc:creator>
  <cp:lastModifiedBy>Owen Martin</cp:lastModifiedBy>
  <dcterms:created xsi:type="dcterms:W3CDTF">2025-05-24T14:21:18Z</dcterms:created>
  <dcterms:modified xsi:type="dcterms:W3CDTF">2025-05-24T22:10:03Z</dcterms:modified>
</cp:coreProperties>
</file>